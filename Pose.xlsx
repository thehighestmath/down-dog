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Илья\Desktop\"/>
    </mc:Choice>
  </mc:AlternateContent>
  <xr:revisionPtr revIDLastSave="0" documentId="8_{0390758A-F640-48B8-9D9D-DB96F51B8E45}" xr6:coauthVersionLast="47" xr6:coauthVersionMax="47" xr10:uidLastSave="{00000000-0000-0000-0000-000000000000}"/>
  <bookViews>
    <workbookView xWindow="495" yWindow="345" windowWidth="28320" windowHeight="14775" xr2:uid="{00000000-000D-0000-FFFF-FFFF00000000}"/>
  </bookViews>
  <sheets>
    <sheet name="Позиции" sheetId="1" r:id="rId1"/>
    <sheet name="Правил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" i="1" l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<sst xmlns="http://schemas.openxmlformats.org/spreadsheetml/2006/main" count="59" uniqueCount="45">
  <si>
    <t>ID</t>
  </si>
  <si>
    <t>Английское название</t>
  </si>
  <si>
    <t>Категория</t>
  </si>
  <si>
    <t>Сложность (1-4)</t>
  </si>
  <si>
    <t>Время удержания, сек</t>
  </si>
  <si>
    <t>Переход, сек</t>
  </si>
  <si>
    <t>Полный цикл, сек</t>
  </si>
  <si>
    <t>pose-1</t>
  </si>
  <si>
    <t>Eagle Pose</t>
  </si>
  <si>
    <t>balancing</t>
  </si>
  <si>
    <t>pose-2</t>
  </si>
  <si>
    <t>Bridge Pose</t>
  </si>
  <si>
    <t>cooldown</t>
  </si>
  <si>
    <t>pose-3</t>
  </si>
  <si>
    <t>Cobra Pose</t>
  </si>
  <si>
    <t>pose-4</t>
  </si>
  <si>
    <t>Bow Pose</t>
  </si>
  <si>
    <t>pose-5</t>
  </si>
  <si>
    <t>Upward-Facing Dog</t>
  </si>
  <si>
    <t>pose-6</t>
  </si>
  <si>
    <t>Happy Baby Pose</t>
  </si>
  <si>
    <t>pose-7</t>
  </si>
  <si>
    <t>Pigeon Pose</t>
  </si>
  <si>
    <t>pose-8</t>
  </si>
  <si>
    <t>Camel Pose</t>
  </si>
  <si>
    <t>pose-9</t>
  </si>
  <si>
    <t>Shoulderstand</t>
  </si>
  <si>
    <t>pose-10</t>
  </si>
  <si>
    <t>Plow Pose</t>
  </si>
  <si>
    <t>pose-11</t>
  </si>
  <si>
    <t>Fish Pose</t>
  </si>
  <si>
    <t>pose-12</t>
  </si>
  <si>
    <t>Half Moon Pose</t>
  </si>
  <si>
    <t>pose-13</t>
  </si>
  <si>
    <t>Supine Twist</t>
  </si>
  <si>
    <t>pose-14</t>
  </si>
  <si>
    <t>Wind-Relieving Pose</t>
  </si>
  <si>
    <t>pose-15</t>
  </si>
  <si>
    <t>Corpse Pose</t>
  </si>
  <si>
    <t>Правила времени для генератора</t>
  </si>
  <si>
    <t>Сложность</t>
  </si>
  <si>
    <t>Примечание</t>
  </si>
  <si>
    <t>Эта шкала времени является рабочим предложением для разработки генератора, так как в исходном JSON время удержания для поз не задано.</t>
  </si>
  <si>
    <t>Требование проекта допускает удержание 15–60 сек и переход 5 сек.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</si>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</sst>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0" fillId="0" borderId="0" xfId="1" applyFont="1" applyAlignment="1">
      <alignment horizontal="center" vertical="center" wrapText="1"/>
    </xf>
    <xf numFmtId="0" fontId="0" fillId="0" borderId="0" xfId="1" applyFont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3" fillId="4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YogaPosesTable" displayName="YogaPosesTable" ref="A1:F16" totalsRowShown="0">
  <tableColumns count="6">
    <tableColumn id="1" xr3:uid="{00000000-0010-0000-0000-000001000000}" name="ID"/>
    <tableColumn id="3" xr3:uid="{00000000-0010-0000-0000-000003000000}" name="Английское название"/>
    <tableColumn id="4" xr3:uid="{00000000-0010-0000-0000-000004000000}" name="Категория"/>
    <tableColumn id="5" xr3:uid="{00000000-0010-0000-0000-000005000000}" name="Сложность (1-4)"/>
    <tableColumn id="7" xr3:uid="{00000000-0010-0000-0000-000007000000}" name="Время удержания, сек"/>
    <tableColumn id="9" xr3:uid="{00000000-0010-0000-0000-000009000000}" name="Полный цикл, сек">
      <calculatedColumnFormula>E2+5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27" sqref="D27"/>
    </sheetView>
  </sheetViews>
  <sheetFormatPr defaultRowHeight="14.25"/>
  <cols>
    <col min="1" max="1" width="12" customWidth="1"/>
    <col min="2" max="2" width="24" customWidth="1"/>
    <col min="3" max="4" width="16" customWidth="1"/>
    <col min="5" max="5" width="20" customWidth="1"/>
    <col min="6" max="6" width="18" customWidth="1"/>
  </cols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ht="30" customHeight="1">
      <c r="A2" s="3" t="s">
        <v>7</v>
      </c>
      <c r="B2" s="2" t="s">
        <v>8</v>
      </c>
      <c r="C2" s="3" t="s">
        <v>9</v>
      </c>
      <c r="D2" s="3">
        <v>4</v>
      </c>
      <c r="E2" s="3">
        <f>IF(D2=1,60,IF(D2=2,45,IF(D2=3,30,IF(D2=4,15,""))))</f>
        <v>15</v>
      </c>
      <c r="F2" s="3">
        <f>E2+5</f>
        <v>20</v>
      </c>
    </row>
    <row r="3" spans="1:6">
      <c r="A3" s="3" t="s">
        <v>10</v>
      </c>
      <c r="B3" s="2" t="s">
        <v>11</v>
      </c>
      <c r="C3" s="3" t="s">
        <v>12</v>
      </c>
      <c r="D3" s="3">
        <v>2</v>
      </c>
      <c r="E3" s="3">
        <f>IF(D3=1,60,IF(D3=2,45,IF(D3=3,30,IF(D3=4,15,""))))</f>
        <v>45</v>
      </c>
      <c r="F3" s="3">
        <f t="shared" ref="F3:F16" si="0">E3+5</f>
        <v>50</v>
      </c>
    </row>
    <row r="4" spans="1:6">
      <c r="A4" s="3" t="s">
        <v>13</v>
      </c>
      <c r="B4" s="2" t="s">
        <v>14</v>
      </c>
      <c r="C4" s="3" t="s">
        <v>12</v>
      </c>
      <c r="D4" s="3">
        <v>2</v>
      </c>
      <c r="E4" s="3">
        <f>IF(D4=1,60,IF(D4=2,45,IF(D4=3,30,IF(D4=4,15,""))))</f>
        <v>45</v>
      </c>
      <c r="F4" s="3">
        <f t="shared" si="0"/>
        <v>50</v>
      </c>
    </row>
    <row r="5" spans="1:6">
      <c r="A5" s="3" t="s">
        <v>15</v>
      </c>
      <c r="B5" s="2" t="s">
        <v>16</v>
      </c>
      <c r="C5" s="3" t="s">
        <v>44</v>
      </c>
      <c r="D5" s="3">
        <v>3</v>
      </c>
      <c r="E5" s="3">
        <f>IF(D5=1,60,IF(D5=2,45,IF(D5=3,30,IF(D5=4,15,""))))</f>
        <v>30</v>
      </c>
      <c r="F5" s="3">
        <f t="shared" si="0"/>
        <v>35</v>
      </c>
    </row>
    <row r="6" spans="1:6">
      <c r="A6" s="3" t="s">
        <v>17</v>
      </c>
      <c r="B6" s="2" t="s">
        <v>18</v>
      </c>
      <c r="C6" s="3" t="s">
        <v>44</v>
      </c>
      <c r="D6" s="3">
        <v>3</v>
      </c>
      <c r="E6" s="3">
        <f>IF(D6=1,60,IF(D6=2,45,IF(D6=3,30,IF(D6=4,15,""))))</f>
        <v>30</v>
      </c>
      <c r="F6" s="3">
        <f t="shared" si="0"/>
        <v>35</v>
      </c>
    </row>
    <row r="7" spans="1:6">
      <c r="A7" s="3" t="s">
        <v>19</v>
      </c>
      <c r="B7" s="2" t="s">
        <v>20</v>
      </c>
      <c r="C7" s="3" t="s">
        <v>12</v>
      </c>
      <c r="D7" s="3">
        <v>1</v>
      </c>
      <c r="E7" s="3">
        <f>IF(D7=1,60,IF(D7=2,45,IF(D7=3,30,IF(D7=4,15,""))))</f>
        <v>60</v>
      </c>
      <c r="F7" s="3">
        <f t="shared" si="0"/>
        <v>65</v>
      </c>
    </row>
    <row r="8" spans="1:6">
      <c r="A8" s="3" t="s">
        <v>21</v>
      </c>
      <c r="B8" s="2" t="s">
        <v>22</v>
      </c>
      <c r="C8" s="3" t="s">
        <v>44</v>
      </c>
      <c r="D8" s="3">
        <v>3</v>
      </c>
      <c r="E8" s="3">
        <f>IF(D8=1,60,IF(D8=2,45,IF(D8=3,30,IF(D8=4,15,""))))</f>
        <v>30</v>
      </c>
      <c r="F8" s="3">
        <f t="shared" si="0"/>
        <v>35</v>
      </c>
    </row>
    <row r="9" spans="1:6">
      <c r="A9" s="3" t="s">
        <v>23</v>
      </c>
      <c r="B9" s="2" t="s">
        <v>24</v>
      </c>
      <c r="C9" s="3" t="s">
        <v>44</v>
      </c>
      <c r="D9" s="3">
        <v>3</v>
      </c>
      <c r="E9" s="3">
        <f>IF(D9=1,60,IF(D9=2,45,IF(D9=3,30,IF(D9=4,15,""))))</f>
        <v>30</v>
      </c>
      <c r="F9" s="3">
        <f t="shared" si="0"/>
        <v>35</v>
      </c>
    </row>
    <row r="10" spans="1:6">
      <c r="A10" s="3" t="s">
        <v>25</v>
      </c>
      <c r="B10" s="2" t="s">
        <v>26</v>
      </c>
      <c r="C10" s="3" t="s">
        <v>12</v>
      </c>
      <c r="D10" s="3">
        <v>4</v>
      </c>
      <c r="E10" s="3">
        <f>IF(D10=1,60,IF(D10=2,45,IF(D10=3,30,IF(D10=4,15,""))))</f>
        <v>15</v>
      </c>
      <c r="F10" s="3">
        <f t="shared" si="0"/>
        <v>20</v>
      </c>
    </row>
    <row r="11" spans="1:6">
      <c r="A11" s="3" t="s">
        <v>27</v>
      </c>
      <c r="B11" s="2" t="s">
        <v>28</v>
      </c>
      <c r="C11" s="3" t="s">
        <v>12</v>
      </c>
      <c r="D11" s="3">
        <v>4</v>
      </c>
      <c r="E11" s="3">
        <f>IF(D11=1,60,IF(D11=2,45,IF(D11=3,30,IF(D11=4,15,""))))</f>
        <v>15</v>
      </c>
      <c r="F11" s="3">
        <f t="shared" si="0"/>
        <v>20</v>
      </c>
    </row>
    <row r="12" spans="1:6">
      <c r="A12" s="3" t="s">
        <v>29</v>
      </c>
      <c r="B12" s="2" t="s">
        <v>30</v>
      </c>
      <c r="C12" s="3" t="s">
        <v>44</v>
      </c>
      <c r="D12" s="3">
        <v>3</v>
      </c>
      <c r="E12" s="3">
        <f>IF(D12=1,60,IF(D12=2,45,IF(D12=3,30,IF(D12=4,15,""))))</f>
        <v>30</v>
      </c>
      <c r="F12" s="3">
        <f t="shared" si="0"/>
        <v>35</v>
      </c>
    </row>
    <row r="13" spans="1:6">
      <c r="A13" s="3" t="s">
        <v>31</v>
      </c>
      <c r="B13" s="2" t="s">
        <v>32</v>
      </c>
      <c r="C13" s="3" t="s">
        <v>9</v>
      </c>
      <c r="D13" s="3">
        <v>4</v>
      </c>
      <c r="E13" s="3">
        <f>IF(D13=1,60,IF(D13=2,45,IF(D13=3,30,IF(D13=4,15,""))))</f>
        <v>15</v>
      </c>
      <c r="F13" s="3">
        <f t="shared" si="0"/>
        <v>20</v>
      </c>
    </row>
    <row r="14" spans="1:6">
      <c r="A14" s="3" t="s">
        <v>33</v>
      </c>
      <c r="B14" s="2" t="s">
        <v>34</v>
      </c>
      <c r="C14" s="3" t="s">
        <v>12</v>
      </c>
      <c r="D14" s="3">
        <v>2</v>
      </c>
      <c r="E14" s="3">
        <f>IF(D14=1,60,IF(D14=2,45,IF(D14=3,30,IF(D14=4,15,""))))</f>
        <v>45</v>
      </c>
      <c r="F14" s="3">
        <f t="shared" si="0"/>
        <v>50</v>
      </c>
    </row>
    <row r="15" spans="1:6">
      <c r="A15" s="3" t="s">
        <v>35</v>
      </c>
      <c r="B15" s="2" t="s">
        <v>36</v>
      </c>
      <c r="C15" s="3" t="s">
        <v>12</v>
      </c>
      <c r="D15" s="3">
        <v>1</v>
      </c>
      <c r="E15" s="3">
        <f>IF(D15=1,60,IF(D15=2,45,IF(D15=3,30,IF(D15=4,15,""))))</f>
        <v>60</v>
      </c>
      <c r="F15" s="3">
        <f t="shared" si="0"/>
        <v>65</v>
      </c>
    </row>
    <row r="16" spans="1:6">
      <c r="A16" s="3" t="s">
        <v>37</v>
      </c>
      <c r="B16" s="2" t="s">
        <v>38</v>
      </c>
      <c r="C16" s="3" t="s">
        <v>12</v>
      </c>
      <c r="D16" s="3">
        <v>1</v>
      </c>
      <c r="E16" s="3">
        <f>IF(D16=1,60,IF(D16=2,45,IF(D16=3,30,IF(D16=4,15,""))))</f>
        <v>60</v>
      </c>
      <c r="F16" s="3">
        <f t="shared" si="0"/>
        <v>65</v>
      </c>
    </row>
  </sheetData>
  <conditionalFormatting sqref="D2:D16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E2:E16">
    <cfRule type="dataBar" priority="2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{3400511E-0A5B-916D-D191-DA118477F507}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00511E-0A5B-916D-D191-DA118477F507}">
            <x14:dataBar>
              <x14:cfvo type="min"/>
              <x14:cfvo type="max"/>
              <x14:negativeFillColor auto="1"/>
              <x14:axisColor auto="1"/>
            </x14:dataBar>
          </x14:cfRule>
          <xm:sqref>E2:E16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4.25"/>
  <cols>
    <col min="1" max="1" width="24" customWidth="1"/>
    <col min="2" max="4" width="22" customWidth="1"/>
  </cols>
  <sheetData>
    <row r="1" spans="1:4" ht="26.1" customHeight="1">
      <c r="A1" s="5" t="s">
        <v>39</v>
      </c>
      <c r="B1" s="5"/>
      <c r="C1" s="5"/>
      <c r="D1" s="5"/>
    </row>
    <row r="3" spans="1:4" ht="15">
      <c r="A3" s="1" t="s">
        <v>40</v>
      </c>
      <c r="B3" s="1" t="s">
        <v>4</v>
      </c>
      <c r="C3" s="1" t="s">
        <v>5</v>
      </c>
      <c r="D3" s="1" t="s">
        <v>6</v>
      </c>
    </row>
    <row r="4" spans="1:4">
      <c r="A4" s="4">
        <v>1</v>
      </c>
      <c r="B4" s="4">
        <v>60</v>
      </c>
      <c r="C4" s="4">
        <v>5</v>
      </c>
      <c r="D4" s="4">
        <v>65</v>
      </c>
    </row>
    <row r="5" spans="1:4">
      <c r="A5" s="4">
        <v>2</v>
      </c>
      <c r="B5" s="4">
        <v>45</v>
      </c>
      <c r="C5" s="4">
        <v>5</v>
      </c>
      <c r="D5" s="4">
        <v>50</v>
      </c>
    </row>
    <row r="6" spans="1:4">
      <c r="A6" s="4">
        <v>3</v>
      </c>
      <c r="B6" s="4">
        <v>30</v>
      </c>
      <c r="C6" s="4">
        <v>5</v>
      </c>
      <c r="D6" s="4">
        <v>35</v>
      </c>
    </row>
    <row r="7" spans="1:4">
      <c r="A7" s="4">
        <v>4</v>
      </c>
      <c r="B7" s="4">
        <v>15</v>
      </c>
      <c r="C7" s="4">
        <v>5</v>
      </c>
      <c r="D7" s="4">
        <v>20</v>
      </c>
    </row>
    <row r="9" spans="1:4" ht="15">
      <c r="A9" s="7" t="s">
        <v>41</v>
      </c>
      <c r="B9" s="7"/>
      <c r="C9" s="7"/>
      <c r="D9" s="7"/>
    </row>
    <row r="10" spans="1:4" ht="36" customHeight="1">
      <c r="A10" s="6" t="s">
        <v>42</v>
      </c>
      <c r="B10" s="6"/>
      <c r="C10" s="6"/>
      <c r="D10" s="6"/>
    </row>
    <row r="11" spans="1:4" ht="36" customHeight="1">
      <c r="A11" s="6" t="s">
        <v>43</v>
      </c>
      <c r="B11" s="6"/>
      <c r="C11" s="6"/>
      <c r="D11" s="6"/>
    </row>
  </sheetData>
  <mergeCells count="4">
    <mergeCell ref="A1:D1"/>
    <mergeCell ref="A9:D9"/>
    <mergeCell ref="A10:D10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Позиции</vt:lpstr>
      <vt:lpstr>Правила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Иванов Бомж228</cp:lastModifiedBy>
  <dcterms:created xsi:type="dcterms:W3CDTF">2026-09-12T21:17:48Z</dcterms:created>
  <dcterms:modified xsi:type="dcterms:W3CDTF">2026-09-12T21:17:48Z</dcterms:modified>
</cp:coreProperties>
</file>